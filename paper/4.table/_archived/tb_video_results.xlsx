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phd\firedet_temporal\zanalyse_now\"/>
    </mc:Choice>
  </mc:AlternateContent>
  <xr:revisionPtr revIDLastSave="0" documentId="13_ncr:1_{E490BFF8-B6F5-433A-B7C3-03208F6DA8CA}" xr6:coauthVersionLast="47" xr6:coauthVersionMax="47" xr10:uidLastSave="{00000000-0000-0000-0000-000000000000}"/>
  <bookViews>
    <workbookView xWindow="-120" yWindow="285" windowWidth="16440" windowHeight="28035" xr2:uid="{E922E8A4-1816-4414-8EE2-39422DEF1303}"/>
  </bookViews>
  <sheets>
    <sheet name="tb_video_results" sheetId="1" r:id="rId1"/>
    <sheet name="tb_video_results_ra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</calcChain>
</file>

<file path=xl/sharedStrings.xml><?xml version="1.0" encoding="utf-8"?>
<sst xmlns="http://schemas.openxmlformats.org/spreadsheetml/2006/main" count="123" uniqueCount="31">
  <si>
    <t>Method</t>
  </si>
  <si>
    <t>Accuracy</t>
  </si>
  <si>
    <t>F1-score</t>
  </si>
  <si>
    <t xml:space="preserve">TPR </t>
  </si>
  <si>
    <t xml:space="preserve">FPR </t>
  </si>
  <si>
    <t xml:space="preserve">FNR </t>
  </si>
  <si>
    <t xml:space="preserve">TNR </t>
  </si>
  <si>
    <t>FPS</t>
  </si>
  <si>
    <t>YOLOv5s</t>
  </si>
  <si>
    <t>YOLOv5s+TPT</t>
  </si>
  <si>
    <t xml:space="preserve">DFire </t>
  </si>
  <si>
    <t xml:space="preserve">FireNet </t>
  </si>
  <si>
    <t>Video dataset</t>
  </si>
  <si>
    <t>YOLOv5s+AVT</t>
  </si>
  <si>
    <t>YOLOv5l</t>
  </si>
  <si>
    <t>YOLOv5l+TPT</t>
  </si>
  <si>
    <t>YOLOv5l+AVT</t>
  </si>
  <si>
    <t>YOLOv8s</t>
  </si>
  <si>
    <t>YOLOv8s + CF</t>
  </si>
  <si>
    <t>YOLOv8l</t>
  </si>
  <si>
    <t>YOLOv8l + CF</t>
  </si>
  <si>
    <t xml:space="preserve">YOLOv5s+TPT </t>
  </si>
  <si>
    <t>DFire  \citeproc{ref-dfiredataset}{{[}23{]}}</t>
  </si>
  <si>
    <t>FireNet \citeproc{ref-jadon2019firenet}{{[}47{]}}</t>
  </si>
  <si>
    <t>MobileNet \citeproc{ref-mukhopadhyay2019fpga}{{[}48{]}}</t>
  </si>
  <si>
    <t>FireNet  \citeproc{ref-jadon2019firenet}{{[}47{]}}</t>
  </si>
  <si>
    <t>FPS (new test)</t>
  </si>
  <si>
    <t>DFire</t>
  </si>
  <si>
    <t>YOLOv5s+CF</t>
  </si>
  <si>
    <t>YOLOv5l+CF</t>
  </si>
  <si>
    <t>YOLOv8l+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</si>
</sst>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3" borderId="10" xfId="0" applyFill="1" applyBorder="1"/>
    <xf numFmtId="0" fontId="0" fillId="35" borderId="10" xfId="0" applyFill="1" applyBorder="1"/>
    <xf numFmtId="0" fontId="16" fillId="36" borderId="10" xfId="0" applyFont="1" applyFill="1" applyBorder="1" applyAlignment="1">
      <alignment horizontal="center"/>
    </xf>
    <xf numFmtId="0" fontId="0" fillId="37" borderId="10" xfId="0" applyFill="1" applyBorder="1"/>
    <xf numFmtId="0" fontId="0" fillId="38" borderId="10" xfId="0" applyFill="1" applyBorder="1"/>
    <xf numFmtId="2" fontId="0" fillId="0" borderId="10" xfId="0" applyNumberFormat="1" applyBorder="1"/>
    <xf numFmtId="2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A51D-B529-437E-8A56-C988B1CC72E6}">
  <dimension ref="A1:I29"/>
  <sheetViews>
    <sheetView tabSelected="1" zoomScale="70" zoomScaleNormal="70" workbookViewId="0">
      <selection activeCell="I42" sqref="I42"/>
    </sheetView>
  </sheetViews>
  <sheetFormatPr defaultColWidth="20.7109375" defaultRowHeight="15" x14ac:dyDescent="0.25"/>
  <cols>
    <col min="1" max="1" width="46.28515625" bestFit="1" customWidth="1"/>
    <col min="2" max="2" width="56.42578125" bestFit="1" customWidth="1"/>
    <col min="3" max="3" width="12.5703125" bestFit="1" customWidth="1"/>
    <col min="4" max="4" width="11.7109375" bestFit="1" customWidth="1"/>
    <col min="5" max="5" width="7.7109375" bestFit="1" customWidth="1"/>
    <col min="6" max="6" width="7.140625" bestFit="1" customWidth="1"/>
    <col min="7" max="7" width="7.7109375" bestFit="1" customWidth="1"/>
    <col min="8" max="8" width="7.140625" bestFit="1" customWidth="1"/>
    <col min="9" max="9" width="6.85546875" bestFit="1" customWidth="1"/>
  </cols>
  <sheetData>
    <row r="1" spans="1:9" x14ac:dyDescent="0.25">
      <c r="A1" s="5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 x14ac:dyDescent="0.25">
      <c r="A2" s="2" t="s">
        <v>22</v>
      </c>
      <c r="B2" s="1" t="s">
        <v>23</v>
      </c>
      <c r="C2" s="8">
        <v>54</v>
      </c>
      <c r="D2" s="8">
        <v>0.5</v>
      </c>
      <c r="E2" s="8">
        <v>46</v>
      </c>
      <c r="F2" s="8">
        <v>38</v>
      </c>
      <c r="G2" s="8">
        <f>100-E2</f>
        <v>54</v>
      </c>
      <c r="H2" s="8">
        <f>100-F2</f>
        <v>62</v>
      </c>
      <c r="I2" s="8">
        <v>30.640055972132298</v>
      </c>
    </row>
    <row r="3" spans="1:9" x14ac:dyDescent="0.25">
      <c r="A3" s="2" t="s">
        <v>10</v>
      </c>
      <c r="B3" s="1" t="s">
        <v>24</v>
      </c>
      <c r="C3" s="8">
        <v>35</v>
      </c>
      <c r="D3" s="8">
        <v>0</v>
      </c>
      <c r="E3" s="8">
        <v>0</v>
      </c>
      <c r="F3" s="8">
        <v>30</v>
      </c>
      <c r="G3" s="8">
        <f t="shared" ref="G3:G29" si="0">100-E3</f>
        <v>100</v>
      </c>
      <c r="H3" s="8">
        <f t="shared" ref="H3:H29" si="1">100-F3</f>
        <v>70</v>
      </c>
      <c r="I3" s="8">
        <v>25.789083761159802</v>
      </c>
    </row>
    <row r="4" spans="1:9" x14ac:dyDescent="0.25">
      <c r="A4" s="2" t="s">
        <v>10</v>
      </c>
      <c r="B4" s="1" t="s">
        <v>8</v>
      </c>
      <c r="C4" s="8">
        <v>68.569999999999993</v>
      </c>
      <c r="D4" s="8">
        <v>0.76</v>
      </c>
      <c r="E4" s="8">
        <v>97.14</v>
      </c>
      <c r="F4" s="8">
        <v>60</v>
      </c>
      <c r="G4" s="8">
        <f t="shared" si="0"/>
        <v>2.8599999999999994</v>
      </c>
      <c r="H4" s="8">
        <f t="shared" si="1"/>
        <v>40</v>
      </c>
      <c r="I4" s="8">
        <v>84.729185900550405</v>
      </c>
    </row>
    <row r="5" spans="1:9" x14ac:dyDescent="0.25">
      <c r="A5" s="2" t="s">
        <v>10</v>
      </c>
      <c r="B5" s="1" t="s">
        <v>21</v>
      </c>
      <c r="C5" s="8">
        <v>71.430000000000007</v>
      </c>
      <c r="D5" s="8">
        <v>0.76</v>
      </c>
      <c r="E5" s="8">
        <v>91.43</v>
      </c>
      <c r="F5" s="8">
        <v>48.57</v>
      </c>
      <c r="G5" s="8">
        <f t="shared" si="0"/>
        <v>8.5699999999999932</v>
      </c>
      <c r="H5" s="8">
        <f t="shared" si="1"/>
        <v>51.43</v>
      </c>
      <c r="I5" s="8">
        <v>84.634280670644699</v>
      </c>
    </row>
    <row r="6" spans="1:9" x14ac:dyDescent="0.25">
      <c r="A6" s="2" t="s">
        <v>10</v>
      </c>
      <c r="B6" s="1" t="s">
        <v>13</v>
      </c>
      <c r="C6" s="8">
        <v>72.86</v>
      </c>
      <c r="D6" s="8">
        <v>0.78</v>
      </c>
      <c r="E6" s="8">
        <v>97.14</v>
      </c>
      <c r="F6" s="8">
        <v>51.43</v>
      </c>
      <c r="G6" s="8">
        <f t="shared" si="0"/>
        <v>2.8599999999999994</v>
      </c>
      <c r="H6" s="8">
        <f t="shared" si="1"/>
        <v>48.57</v>
      </c>
      <c r="I6" s="8">
        <v>83.054228646881597</v>
      </c>
    </row>
    <row r="7" spans="1:9" x14ac:dyDescent="0.25">
      <c r="A7" s="2" t="s">
        <v>27</v>
      </c>
      <c r="B7" s="3" t="s">
        <v>28</v>
      </c>
      <c r="C7" s="9">
        <v>74.290000000000006</v>
      </c>
      <c r="D7" s="9">
        <v>0.79</v>
      </c>
      <c r="E7" s="9">
        <v>97.14</v>
      </c>
      <c r="F7" s="9">
        <v>48.57</v>
      </c>
      <c r="G7" s="8">
        <f t="shared" si="0"/>
        <v>2.8599999999999994</v>
      </c>
      <c r="H7" s="8">
        <f t="shared" si="1"/>
        <v>51.43</v>
      </c>
      <c r="I7" s="8">
        <v>84.72</v>
      </c>
    </row>
    <row r="8" spans="1:9" x14ac:dyDescent="0.25">
      <c r="A8" s="2" t="s">
        <v>10</v>
      </c>
      <c r="B8" s="1" t="s">
        <v>14</v>
      </c>
      <c r="C8" s="8">
        <v>60</v>
      </c>
      <c r="D8" s="8">
        <v>0.71</v>
      </c>
      <c r="E8" s="8">
        <v>100</v>
      </c>
      <c r="F8" s="8">
        <v>80</v>
      </c>
      <c r="G8" s="8">
        <f t="shared" si="0"/>
        <v>0</v>
      </c>
      <c r="H8" s="8">
        <f t="shared" si="1"/>
        <v>20</v>
      </c>
      <c r="I8" s="8">
        <v>51.923840649681999</v>
      </c>
    </row>
    <row r="9" spans="1:9" x14ac:dyDescent="0.25">
      <c r="A9" s="2" t="s">
        <v>10</v>
      </c>
      <c r="B9" s="1" t="s">
        <v>15</v>
      </c>
      <c r="C9" s="8">
        <v>71.430000000000007</v>
      </c>
      <c r="D9" s="8">
        <v>0.77</v>
      </c>
      <c r="E9" s="8">
        <v>97.14</v>
      </c>
      <c r="F9" s="8">
        <v>54.29</v>
      </c>
      <c r="G9" s="8">
        <f t="shared" si="0"/>
        <v>2.8599999999999994</v>
      </c>
      <c r="H9" s="8">
        <f t="shared" si="1"/>
        <v>45.71</v>
      </c>
      <c r="I9" s="8">
        <v>51.876290801927603</v>
      </c>
    </row>
    <row r="10" spans="1:9" x14ac:dyDescent="0.25">
      <c r="A10" s="2" t="s">
        <v>10</v>
      </c>
      <c r="B10" s="1" t="s">
        <v>16</v>
      </c>
      <c r="C10" s="8">
        <v>65.709999999999994</v>
      </c>
      <c r="D10" s="8">
        <v>0.75</v>
      </c>
      <c r="E10" s="8">
        <v>100</v>
      </c>
      <c r="F10" s="8">
        <v>68.569999999999993</v>
      </c>
      <c r="G10" s="8">
        <f t="shared" si="0"/>
        <v>0</v>
      </c>
      <c r="H10" s="8">
        <f t="shared" si="1"/>
        <v>31.430000000000007</v>
      </c>
      <c r="I10" s="8">
        <v>51.498710567138303</v>
      </c>
    </row>
    <row r="11" spans="1:9" x14ac:dyDescent="0.25">
      <c r="A11" s="2" t="s">
        <v>10</v>
      </c>
      <c r="B11" s="3" t="s">
        <v>29</v>
      </c>
      <c r="C11" s="9">
        <v>71.430000000000007</v>
      </c>
      <c r="D11" s="9">
        <v>0.77</v>
      </c>
      <c r="E11" s="9">
        <v>94.29</v>
      </c>
      <c r="F11" s="9">
        <v>51.43</v>
      </c>
      <c r="G11" s="8">
        <f t="shared" si="0"/>
        <v>5.7099999999999937</v>
      </c>
      <c r="H11" s="8">
        <f t="shared" si="1"/>
        <v>48.57</v>
      </c>
      <c r="I11" s="8">
        <v>51.907223999785899</v>
      </c>
    </row>
    <row r="12" spans="1:9" x14ac:dyDescent="0.25">
      <c r="A12" s="2" t="s">
        <v>10</v>
      </c>
      <c r="B12" s="3" t="s">
        <v>17</v>
      </c>
      <c r="C12" s="9">
        <v>61.43</v>
      </c>
      <c r="D12" s="9">
        <v>0.72</v>
      </c>
      <c r="E12" s="9">
        <v>100</v>
      </c>
      <c r="F12" s="9">
        <v>77.14</v>
      </c>
      <c r="G12" s="8">
        <f t="shared" si="0"/>
        <v>0</v>
      </c>
      <c r="H12" s="8">
        <f t="shared" si="1"/>
        <v>22.86</v>
      </c>
      <c r="I12" s="9">
        <v>63.449817835557504</v>
      </c>
    </row>
    <row r="13" spans="1:9" x14ac:dyDescent="0.25">
      <c r="A13" s="2" t="s">
        <v>10</v>
      </c>
      <c r="B13" s="3" t="s">
        <v>18</v>
      </c>
      <c r="C13" s="9">
        <v>70</v>
      </c>
      <c r="D13" s="9">
        <v>0.75</v>
      </c>
      <c r="E13" s="9">
        <v>91.43</v>
      </c>
      <c r="F13" s="9">
        <v>51.43</v>
      </c>
      <c r="G13" s="8">
        <f t="shared" si="0"/>
        <v>8.5699999999999932</v>
      </c>
      <c r="H13" s="8">
        <f t="shared" si="1"/>
        <v>48.57</v>
      </c>
      <c r="I13" s="9">
        <v>63.439167436894998</v>
      </c>
    </row>
    <row r="14" spans="1:9" x14ac:dyDescent="0.25">
      <c r="A14" s="2" t="s">
        <v>10</v>
      </c>
      <c r="B14" s="3" t="s">
        <v>19</v>
      </c>
      <c r="C14" s="9">
        <v>74.290000000000006</v>
      </c>
      <c r="D14" s="9">
        <v>0.8</v>
      </c>
      <c r="E14" s="9">
        <v>100</v>
      </c>
      <c r="F14" s="9">
        <v>51.43</v>
      </c>
      <c r="G14" s="8">
        <f t="shared" si="0"/>
        <v>0</v>
      </c>
      <c r="H14" s="8">
        <f t="shared" si="1"/>
        <v>48.57</v>
      </c>
      <c r="I14" s="9">
        <v>42.467151115083702</v>
      </c>
    </row>
    <row r="15" spans="1:9" x14ac:dyDescent="0.25">
      <c r="A15" s="2" t="s">
        <v>10</v>
      </c>
      <c r="B15" s="3" t="s">
        <v>30</v>
      </c>
      <c r="C15" s="9">
        <v>77.13</v>
      </c>
      <c r="D15" s="9">
        <v>0.8</v>
      </c>
      <c r="E15" s="9">
        <v>94.284999999999997</v>
      </c>
      <c r="F15" s="9">
        <v>40</v>
      </c>
      <c r="G15" s="8">
        <f t="shared" si="0"/>
        <v>5.7150000000000034</v>
      </c>
      <c r="H15" s="8">
        <f t="shared" si="1"/>
        <v>60</v>
      </c>
      <c r="I15" s="9">
        <v>42.404556442913901</v>
      </c>
    </row>
    <row r="16" spans="1:9" x14ac:dyDescent="0.25">
      <c r="A16" s="4" t="s">
        <v>25</v>
      </c>
      <c r="B16" s="1" t="s">
        <v>23</v>
      </c>
      <c r="C16" s="8">
        <v>87.1</v>
      </c>
      <c r="D16" s="8">
        <v>0.92</v>
      </c>
      <c r="E16" s="8">
        <v>95.65</v>
      </c>
      <c r="F16" s="8">
        <v>37.5</v>
      </c>
      <c r="G16" s="8">
        <f t="shared" si="0"/>
        <v>4.3499999999999943</v>
      </c>
      <c r="H16" s="8">
        <f t="shared" si="1"/>
        <v>62.5</v>
      </c>
      <c r="I16" s="8">
        <v>30.197917427229701</v>
      </c>
    </row>
    <row r="17" spans="1:9" x14ac:dyDescent="0.25">
      <c r="A17" s="4" t="s">
        <v>11</v>
      </c>
      <c r="B17" s="1" t="s">
        <v>24</v>
      </c>
      <c r="C17" s="8">
        <v>93.55</v>
      </c>
      <c r="D17" s="8">
        <v>0.96</v>
      </c>
      <c r="E17" s="8">
        <v>95.65</v>
      </c>
      <c r="F17" s="8">
        <v>12.5</v>
      </c>
      <c r="G17" s="8">
        <f t="shared" si="0"/>
        <v>4.3499999999999943</v>
      </c>
      <c r="H17" s="8">
        <f t="shared" si="1"/>
        <v>87.5</v>
      </c>
      <c r="I17" s="8">
        <v>26.813365737820401</v>
      </c>
    </row>
    <row r="18" spans="1:9" x14ac:dyDescent="0.25">
      <c r="A18" s="4" t="s">
        <v>11</v>
      </c>
      <c r="B18" s="1" t="s">
        <v>8</v>
      </c>
      <c r="C18" s="8">
        <v>91.94</v>
      </c>
      <c r="D18" s="8">
        <v>0.95</v>
      </c>
      <c r="E18" s="8">
        <v>100</v>
      </c>
      <c r="F18" s="8">
        <v>31.25</v>
      </c>
      <c r="G18" s="8">
        <f t="shared" si="0"/>
        <v>0</v>
      </c>
      <c r="H18" s="8">
        <f t="shared" si="1"/>
        <v>68.75</v>
      </c>
      <c r="I18" s="8">
        <v>81.267843126669504</v>
      </c>
    </row>
    <row r="19" spans="1:9" x14ac:dyDescent="0.25">
      <c r="A19" s="4" t="s">
        <v>11</v>
      </c>
      <c r="B19" s="1" t="s">
        <v>9</v>
      </c>
      <c r="C19" s="8">
        <v>95.16</v>
      </c>
      <c r="D19" s="8">
        <v>0.97</v>
      </c>
      <c r="E19" s="8">
        <v>97.83</v>
      </c>
      <c r="F19" s="8">
        <v>12.5</v>
      </c>
      <c r="G19" s="8">
        <f t="shared" si="0"/>
        <v>2.1700000000000017</v>
      </c>
      <c r="H19" s="8">
        <f t="shared" si="1"/>
        <v>87.5</v>
      </c>
      <c r="I19" s="8">
        <v>81.043970251776997</v>
      </c>
    </row>
    <row r="20" spans="1:9" x14ac:dyDescent="0.25">
      <c r="A20" s="4" t="s">
        <v>11</v>
      </c>
      <c r="B20" s="1" t="s">
        <v>13</v>
      </c>
      <c r="C20" s="8">
        <v>90.32</v>
      </c>
      <c r="D20" s="8">
        <v>0.94</v>
      </c>
      <c r="E20" s="8">
        <v>95.65</v>
      </c>
      <c r="F20" s="8">
        <v>25</v>
      </c>
      <c r="G20" s="8">
        <f t="shared" si="0"/>
        <v>4.3499999999999943</v>
      </c>
      <c r="H20" s="8">
        <f t="shared" si="1"/>
        <v>75</v>
      </c>
      <c r="I20" s="8">
        <v>79.466105761161799</v>
      </c>
    </row>
    <row r="21" spans="1:9" x14ac:dyDescent="0.25">
      <c r="A21" s="4" t="s">
        <v>11</v>
      </c>
      <c r="B21" s="3" t="s">
        <v>28</v>
      </c>
      <c r="C21" s="9">
        <v>95.16</v>
      </c>
      <c r="D21" s="9">
        <v>0.97</v>
      </c>
      <c r="E21" s="9">
        <v>100</v>
      </c>
      <c r="F21" s="9">
        <v>18.25</v>
      </c>
      <c r="G21" s="8">
        <f t="shared" si="0"/>
        <v>0</v>
      </c>
      <c r="H21" s="8">
        <f t="shared" si="1"/>
        <v>81.75</v>
      </c>
      <c r="I21" s="8">
        <v>81.043141668145395</v>
      </c>
    </row>
    <row r="22" spans="1:9" x14ac:dyDescent="0.25">
      <c r="A22" s="4" t="s">
        <v>11</v>
      </c>
      <c r="B22" s="1" t="s">
        <v>14</v>
      </c>
      <c r="C22" s="8">
        <v>93.55</v>
      </c>
      <c r="D22" s="8">
        <v>0.96</v>
      </c>
      <c r="E22" s="8">
        <v>100</v>
      </c>
      <c r="F22" s="8">
        <v>25</v>
      </c>
      <c r="G22" s="8">
        <f t="shared" si="0"/>
        <v>0</v>
      </c>
      <c r="H22" s="8">
        <f t="shared" si="1"/>
        <v>75</v>
      </c>
      <c r="I22" s="8">
        <v>49.915054974350397</v>
      </c>
    </row>
    <row r="23" spans="1:9" x14ac:dyDescent="0.25">
      <c r="A23" s="4" t="s">
        <v>11</v>
      </c>
      <c r="B23" s="1" t="s">
        <v>15</v>
      </c>
      <c r="C23" s="8">
        <v>95.16</v>
      </c>
      <c r="D23" s="8">
        <v>0.97</v>
      </c>
      <c r="E23" s="8">
        <v>97.83</v>
      </c>
      <c r="F23" s="8">
        <v>12.5</v>
      </c>
      <c r="G23" s="8">
        <f t="shared" si="0"/>
        <v>2.1700000000000017</v>
      </c>
      <c r="H23" s="8">
        <f t="shared" si="1"/>
        <v>87.5</v>
      </c>
      <c r="I23" s="8">
        <v>49.835072586914897</v>
      </c>
    </row>
    <row r="24" spans="1:9" x14ac:dyDescent="0.25">
      <c r="A24" s="4" t="s">
        <v>11</v>
      </c>
      <c r="B24" s="1" t="s">
        <v>16</v>
      </c>
      <c r="C24" s="8">
        <v>93.55</v>
      </c>
      <c r="D24" s="8">
        <v>0.96</v>
      </c>
      <c r="E24" s="8">
        <v>97.83</v>
      </c>
      <c r="F24" s="8">
        <v>18.75</v>
      </c>
      <c r="G24" s="8">
        <f t="shared" si="0"/>
        <v>2.1700000000000017</v>
      </c>
      <c r="H24" s="8">
        <f t="shared" si="1"/>
        <v>81.25</v>
      </c>
      <c r="I24" s="8">
        <v>49.402047231597301</v>
      </c>
    </row>
    <row r="25" spans="1:9" x14ac:dyDescent="0.25">
      <c r="A25" s="4" t="s">
        <v>11</v>
      </c>
      <c r="B25" s="3" t="s">
        <v>29</v>
      </c>
      <c r="C25" s="9">
        <v>93.55</v>
      </c>
      <c r="D25" s="9">
        <v>0.96</v>
      </c>
      <c r="E25" s="9">
        <v>95.65</v>
      </c>
      <c r="F25" s="9">
        <v>12.5</v>
      </c>
      <c r="G25" s="8">
        <f t="shared" si="0"/>
        <v>4.3499999999999943</v>
      </c>
      <c r="H25" s="8">
        <f t="shared" si="1"/>
        <v>87.5</v>
      </c>
      <c r="I25" s="8">
        <v>49.902965713679002</v>
      </c>
    </row>
    <row r="26" spans="1:9" x14ac:dyDescent="0.25">
      <c r="A26" s="4" t="s">
        <v>11</v>
      </c>
      <c r="B26" s="3" t="s">
        <v>17</v>
      </c>
      <c r="C26" s="9">
        <v>95.16</v>
      </c>
      <c r="D26" s="9">
        <v>0.97</v>
      </c>
      <c r="E26" s="9">
        <v>100</v>
      </c>
      <c r="F26" s="9">
        <v>18.75</v>
      </c>
      <c r="G26" s="8">
        <f t="shared" si="0"/>
        <v>0</v>
      </c>
      <c r="H26" s="8">
        <f t="shared" si="1"/>
        <v>81.25</v>
      </c>
      <c r="I26" s="9">
        <v>61.097331777240498</v>
      </c>
    </row>
    <row r="27" spans="1:9" x14ac:dyDescent="0.25">
      <c r="A27" s="4" t="s">
        <v>11</v>
      </c>
      <c r="B27" s="3" t="s">
        <v>18</v>
      </c>
      <c r="C27" s="9">
        <v>96.77</v>
      </c>
      <c r="D27" s="9">
        <v>0.98</v>
      </c>
      <c r="E27" s="9">
        <v>100</v>
      </c>
      <c r="F27" s="9">
        <v>12.5</v>
      </c>
      <c r="G27" s="8">
        <f t="shared" si="0"/>
        <v>0</v>
      </c>
      <c r="H27" s="8">
        <f t="shared" si="1"/>
        <v>87.5</v>
      </c>
      <c r="I27" s="9">
        <v>61.005115000752802</v>
      </c>
    </row>
    <row r="28" spans="1:9" x14ac:dyDescent="0.25">
      <c r="A28" s="4" t="s">
        <v>11</v>
      </c>
      <c r="B28" s="3" t="s">
        <v>19</v>
      </c>
      <c r="C28" s="9">
        <v>93.55</v>
      </c>
      <c r="D28" s="9">
        <v>0.96</v>
      </c>
      <c r="E28" s="9">
        <v>95.65</v>
      </c>
      <c r="F28" s="9">
        <v>12.5</v>
      </c>
      <c r="G28" s="8">
        <f t="shared" si="0"/>
        <v>4.3499999999999943</v>
      </c>
      <c r="H28" s="8">
        <f t="shared" si="1"/>
        <v>87.5</v>
      </c>
      <c r="I28" s="9">
        <v>39.137905541450102</v>
      </c>
    </row>
    <row r="29" spans="1:9" x14ac:dyDescent="0.25">
      <c r="A29" s="4" t="s">
        <v>11</v>
      </c>
      <c r="B29" s="3" t="s">
        <v>20</v>
      </c>
      <c r="C29" s="9">
        <v>90.32</v>
      </c>
      <c r="D29" s="9">
        <v>0.93</v>
      </c>
      <c r="E29" s="9">
        <v>89.13</v>
      </c>
      <c r="F29" s="9">
        <v>6.25</v>
      </c>
      <c r="G29" s="8">
        <f t="shared" si="0"/>
        <v>10.870000000000005</v>
      </c>
      <c r="H29" s="8">
        <f t="shared" si="1"/>
        <v>93.75</v>
      </c>
      <c r="I29" s="9">
        <v>39.1029481842914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72B4-ADB1-462F-A009-6F712D8B9A17}">
  <dimension ref="A1:J25"/>
  <sheetViews>
    <sheetView topLeftCell="B1" zoomScale="85" zoomScaleNormal="85" workbookViewId="0">
      <selection activeCell="J14" sqref="J14:J15"/>
    </sheetView>
  </sheetViews>
  <sheetFormatPr defaultColWidth="20.7109375" defaultRowHeight="15" x14ac:dyDescent="0.25"/>
  <cols>
    <col min="1" max="1" width="19.5703125" customWidth="1"/>
    <col min="2" max="2" width="51.42578125" customWidth="1"/>
    <col min="7" max="9" width="0" hidden="1" customWidth="1"/>
    <col min="10" max="10" width="20.7109375" customWidth="1"/>
  </cols>
  <sheetData>
    <row r="1" spans="1:10" x14ac:dyDescent="0.25">
      <c r="A1" s="5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26</v>
      </c>
    </row>
    <row r="2" spans="1:10" x14ac:dyDescent="0.25">
      <c r="A2" s="2" t="s">
        <v>22</v>
      </c>
      <c r="B2" s="1" t="s">
        <v>23</v>
      </c>
      <c r="C2" s="1">
        <v>54</v>
      </c>
      <c r="D2" s="1">
        <v>0.5</v>
      </c>
      <c r="E2" s="1">
        <v>46</v>
      </c>
      <c r="F2" s="1">
        <v>38</v>
      </c>
      <c r="G2" s="1">
        <v>54</v>
      </c>
      <c r="H2" s="1">
        <v>62</v>
      </c>
      <c r="I2" s="1">
        <v>32.06</v>
      </c>
      <c r="J2" s="6">
        <v>30.640055972132298</v>
      </c>
    </row>
    <row r="3" spans="1:10" x14ac:dyDescent="0.25">
      <c r="A3" s="2" t="s">
        <v>10</v>
      </c>
      <c r="B3" s="1" t="s">
        <v>24</v>
      </c>
      <c r="C3" s="1">
        <v>35</v>
      </c>
      <c r="D3" s="1">
        <v>0</v>
      </c>
      <c r="E3" s="1">
        <v>0</v>
      </c>
      <c r="F3" s="1">
        <v>30</v>
      </c>
      <c r="G3" s="1">
        <v>100</v>
      </c>
      <c r="H3" s="1">
        <v>70</v>
      </c>
      <c r="I3" s="1">
        <v>23.66</v>
      </c>
      <c r="J3" s="6">
        <v>25.789083761159802</v>
      </c>
    </row>
    <row r="4" spans="1:10" x14ac:dyDescent="0.25">
      <c r="A4" s="2" t="s">
        <v>10</v>
      </c>
      <c r="B4" s="1" t="s">
        <v>8</v>
      </c>
      <c r="C4" s="1">
        <v>68.569999999999993</v>
      </c>
      <c r="D4" s="1">
        <v>0.76</v>
      </c>
      <c r="E4" s="1">
        <v>97.14</v>
      </c>
      <c r="F4" s="1">
        <v>60</v>
      </c>
      <c r="G4" s="1">
        <v>2.86</v>
      </c>
      <c r="H4" s="1">
        <v>40</v>
      </c>
      <c r="I4" s="1">
        <v>162.27000000000001</v>
      </c>
      <c r="J4" s="7"/>
    </row>
    <row r="5" spans="1:10" x14ac:dyDescent="0.25">
      <c r="A5" s="2" t="s">
        <v>10</v>
      </c>
      <c r="B5" s="1" t="s">
        <v>21</v>
      </c>
      <c r="C5" s="1">
        <v>71.430000000000007</v>
      </c>
      <c r="D5" s="1">
        <v>0.76</v>
      </c>
      <c r="E5" s="1">
        <v>91.43</v>
      </c>
      <c r="F5" s="1">
        <v>48.57</v>
      </c>
      <c r="G5" s="1">
        <v>8.57</v>
      </c>
      <c r="H5" s="1">
        <v>51.43</v>
      </c>
      <c r="I5" s="1">
        <v>162.81</v>
      </c>
      <c r="J5" s="7"/>
    </row>
    <row r="6" spans="1:10" x14ac:dyDescent="0.25">
      <c r="A6" s="2" t="s">
        <v>10</v>
      </c>
      <c r="B6" s="1" t="s">
        <v>13</v>
      </c>
      <c r="C6" s="1">
        <v>72.86</v>
      </c>
      <c r="D6" s="1">
        <v>0.78</v>
      </c>
      <c r="E6" s="1">
        <v>97.14</v>
      </c>
      <c r="F6" s="1">
        <v>51.43</v>
      </c>
      <c r="G6" s="1">
        <v>2.86</v>
      </c>
      <c r="H6" s="1">
        <v>48.57</v>
      </c>
      <c r="I6" s="1">
        <v>159.65</v>
      </c>
      <c r="J6" s="7"/>
    </row>
    <row r="7" spans="1:10" x14ac:dyDescent="0.25">
      <c r="A7" s="2" t="s">
        <v>10</v>
      </c>
      <c r="B7" s="1" t="s">
        <v>14</v>
      </c>
      <c r="C7" s="1">
        <v>60</v>
      </c>
      <c r="D7" s="1">
        <v>0.71</v>
      </c>
      <c r="E7" s="1">
        <v>100</v>
      </c>
      <c r="F7" s="1">
        <v>80</v>
      </c>
      <c r="G7" s="1">
        <v>0</v>
      </c>
      <c r="H7" s="1">
        <v>20</v>
      </c>
      <c r="I7" s="1">
        <v>59.34</v>
      </c>
      <c r="J7" s="7"/>
    </row>
    <row r="8" spans="1:10" x14ac:dyDescent="0.25">
      <c r="A8" s="2" t="s">
        <v>10</v>
      </c>
      <c r="B8" s="1" t="s">
        <v>15</v>
      </c>
      <c r="C8" s="1">
        <v>71.430000000000007</v>
      </c>
      <c r="D8" s="1">
        <v>0.77</v>
      </c>
      <c r="E8" s="1">
        <v>97.14</v>
      </c>
      <c r="F8" s="1">
        <v>54.29</v>
      </c>
      <c r="G8" s="1">
        <v>2.86</v>
      </c>
      <c r="H8" s="1">
        <v>45.71</v>
      </c>
      <c r="I8" s="1">
        <v>59.36</v>
      </c>
      <c r="J8" s="7"/>
    </row>
    <row r="9" spans="1:10" x14ac:dyDescent="0.25">
      <c r="A9" s="2" t="s">
        <v>10</v>
      </c>
      <c r="B9" s="1" t="s">
        <v>16</v>
      </c>
      <c r="C9" s="1">
        <v>65.709999999999994</v>
      </c>
      <c r="D9" s="1">
        <v>0.75</v>
      </c>
      <c r="E9" s="1">
        <v>100</v>
      </c>
      <c r="F9" s="1">
        <v>68.569999999999993</v>
      </c>
      <c r="G9" s="1">
        <v>0</v>
      </c>
      <c r="H9" s="1">
        <v>31.43</v>
      </c>
      <c r="I9" s="1">
        <v>59.44</v>
      </c>
      <c r="J9" s="7"/>
    </row>
    <row r="10" spans="1:10" x14ac:dyDescent="0.25">
      <c r="A10" s="2" t="s">
        <v>10</v>
      </c>
      <c r="B10" s="3" t="s">
        <v>17</v>
      </c>
      <c r="C10" s="3">
        <v>61.43</v>
      </c>
      <c r="D10" s="3">
        <v>72.16</v>
      </c>
      <c r="E10" s="3">
        <v>100</v>
      </c>
      <c r="F10" s="3">
        <v>77.14</v>
      </c>
      <c r="G10" s="3">
        <v>0</v>
      </c>
      <c r="H10" s="3">
        <v>0</v>
      </c>
      <c r="I10" s="3">
        <v>0</v>
      </c>
      <c r="J10" s="3"/>
    </row>
    <row r="11" spans="1:10" x14ac:dyDescent="0.25">
      <c r="A11" s="2" t="s">
        <v>10</v>
      </c>
      <c r="B11" s="3" t="s">
        <v>18</v>
      </c>
      <c r="C11" s="3">
        <v>70</v>
      </c>
      <c r="D11" s="3">
        <v>75.290000000000006</v>
      </c>
      <c r="E11" s="3">
        <v>91.43</v>
      </c>
      <c r="F11" s="3">
        <v>51.43</v>
      </c>
      <c r="G11" s="3">
        <v>0</v>
      </c>
      <c r="H11" s="3">
        <v>0</v>
      </c>
      <c r="I11" s="3">
        <v>0</v>
      </c>
      <c r="J11" s="3"/>
    </row>
    <row r="12" spans="1:10" x14ac:dyDescent="0.25">
      <c r="A12" s="2" t="s">
        <v>10</v>
      </c>
      <c r="B12" s="3" t="s">
        <v>19</v>
      </c>
      <c r="C12" s="3">
        <v>74.290000000000006</v>
      </c>
      <c r="D12" s="3">
        <v>79.55</v>
      </c>
      <c r="E12" s="3">
        <v>100</v>
      </c>
      <c r="F12" s="3">
        <v>51.43</v>
      </c>
      <c r="G12" s="3">
        <v>0</v>
      </c>
      <c r="H12" s="3">
        <v>0</v>
      </c>
      <c r="I12" s="3">
        <v>0</v>
      </c>
      <c r="J12" s="3"/>
    </row>
    <row r="13" spans="1:10" x14ac:dyDescent="0.25">
      <c r="A13" s="2" t="s">
        <v>10</v>
      </c>
      <c r="B13" s="3" t="s">
        <v>20</v>
      </c>
      <c r="C13" s="3">
        <v>77.13</v>
      </c>
      <c r="D13" s="3">
        <v>80.489999999999995</v>
      </c>
      <c r="E13" s="3">
        <v>94.284999999999997</v>
      </c>
      <c r="F13" s="3">
        <v>40</v>
      </c>
      <c r="G13" s="3">
        <v>0</v>
      </c>
      <c r="H13" s="3">
        <v>0</v>
      </c>
      <c r="I13" s="3">
        <v>0</v>
      </c>
      <c r="J13" s="3"/>
    </row>
    <row r="14" spans="1:10" x14ac:dyDescent="0.25">
      <c r="A14" s="4" t="s">
        <v>25</v>
      </c>
      <c r="B14" s="1" t="s">
        <v>23</v>
      </c>
      <c r="C14" s="1">
        <v>87.1</v>
      </c>
      <c r="D14" s="1">
        <v>0.92</v>
      </c>
      <c r="E14" s="1">
        <v>95.65</v>
      </c>
      <c r="F14" s="1">
        <v>37.5</v>
      </c>
      <c r="G14" s="1">
        <v>4.3499999999999996</v>
      </c>
      <c r="H14" s="1">
        <v>62.5</v>
      </c>
      <c r="I14" s="1">
        <v>32.909999999999997</v>
      </c>
      <c r="J14" s="6">
        <v>30.197917427229701</v>
      </c>
    </row>
    <row r="15" spans="1:10" x14ac:dyDescent="0.25">
      <c r="A15" s="4" t="s">
        <v>11</v>
      </c>
      <c r="B15" s="1" t="s">
        <v>24</v>
      </c>
      <c r="C15" s="1">
        <v>93.55</v>
      </c>
      <c r="D15" s="1">
        <v>0.96</v>
      </c>
      <c r="E15" s="1">
        <v>95.65</v>
      </c>
      <c r="F15" s="1">
        <v>12.5</v>
      </c>
      <c r="G15" s="1">
        <v>4.3499999999999996</v>
      </c>
      <c r="H15" s="1">
        <v>87.5</v>
      </c>
      <c r="I15" s="1">
        <v>27.9</v>
      </c>
      <c r="J15" s="6">
        <v>26.813365737820401</v>
      </c>
    </row>
    <row r="16" spans="1:10" x14ac:dyDescent="0.25">
      <c r="A16" s="4" t="s">
        <v>11</v>
      </c>
      <c r="B16" s="1" t="s">
        <v>8</v>
      </c>
      <c r="C16" s="1">
        <v>91.94</v>
      </c>
      <c r="D16" s="1">
        <v>0.95</v>
      </c>
      <c r="E16" s="1">
        <v>100</v>
      </c>
      <c r="F16" s="1">
        <v>31.25</v>
      </c>
      <c r="G16" s="1">
        <v>0</v>
      </c>
      <c r="H16" s="1">
        <v>68.75</v>
      </c>
      <c r="I16" s="1">
        <v>138.9</v>
      </c>
      <c r="J16" s="7"/>
    </row>
    <row r="17" spans="1:10" x14ac:dyDescent="0.25">
      <c r="A17" s="4" t="s">
        <v>11</v>
      </c>
      <c r="B17" s="1" t="s">
        <v>9</v>
      </c>
      <c r="C17" s="1">
        <v>95.16</v>
      </c>
      <c r="D17" s="1">
        <v>0.97</v>
      </c>
      <c r="E17" s="1">
        <v>97.83</v>
      </c>
      <c r="F17" s="1">
        <v>12.5</v>
      </c>
      <c r="G17" s="1">
        <v>2.17</v>
      </c>
      <c r="H17" s="1">
        <v>87.5</v>
      </c>
      <c r="I17" s="1">
        <v>137.74</v>
      </c>
      <c r="J17" s="7"/>
    </row>
    <row r="18" spans="1:10" x14ac:dyDescent="0.25">
      <c r="A18" s="4" t="s">
        <v>11</v>
      </c>
      <c r="B18" s="1" t="s">
        <v>13</v>
      </c>
      <c r="C18" s="1">
        <v>90.32</v>
      </c>
      <c r="D18" s="1">
        <v>0.94</v>
      </c>
      <c r="E18" s="1">
        <v>95.65</v>
      </c>
      <c r="F18" s="1">
        <v>25</v>
      </c>
      <c r="G18" s="1">
        <v>4.3499999999999996</v>
      </c>
      <c r="H18" s="1">
        <v>75</v>
      </c>
      <c r="I18" s="1">
        <v>138.22</v>
      </c>
      <c r="J18" s="7"/>
    </row>
    <row r="19" spans="1:10" x14ac:dyDescent="0.25">
      <c r="A19" s="4" t="s">
        <v>11</v>
      </c>
      <c r="B19" s="1" t="s">
        <v>14</v>
      </c>
      <c r="C19" s="1">
        <v>93.55</v>
      </c>
      <c r="D19" s="1">
        <v>0.96</v>
      </c>
      <c r="E19" s="1">
        <v>100</v>
      </c>
      <c r="F19" s="1">
        <v>25</v>
      </c>
      <c r="G19" s="1">
        <v>0</v>
      </c>
      <c r="H19" s="1">
        <v>75</v>
      </c>
      <c r="I19" s="1">
        <v>55.85</v>
      </c>
      <c r="J19" s="7"/>
    </row>
    <row r="20" spans="1:10" x14ac:dyDescent="0.25">
      <c r="A20" s="4" t="s">
        <v>11</v>
      </c>
      <c r="B20" s="1" t="s">
        <v>15</v>
      </c>
      <c r="C20" s="1">
        <v>95.16</v>
      </c>
      <c r="D20" s="1">
        <v>0.97</v>
      </c>
      <c r="E20" s="1">
        <v>97.83</v>
      </c>
      <c r="F20" s="1">
        <v>12.5</v>
      </c>
      <c r="G20" s="1">
        <v>2.17</v>
      </c>
      <c r="H20" s="1">
        <v>87.5</v>
      </c>
      <c r="I20" s="1">
        <v>55.7</v>
      </c>
      <c r="J20" s="7"/>
    </row>
    <row r="21" spans="1:10" x14ac:dyDescent="0.25">
      <c r="A21" s="4" t="s">
        <v>11</v>
      </c>
      <c r="B21" s="1" t="s">
        <v>16</v>
      </c>
      <c r="C21" s="1">
        <v>93.55</v>
      </c>
      <c r="D21" s="1">
        <v>0.96</v>
      </c>
      <c r="E21" s="1">
        <v>97.83</v>
      </c>
      <c r="F21" s="1">
        <v>18.75</v>
      </c>
      <c r="G21" s="1">
        <v>2.17</v>
      </c>
      <c r="H21" s="1">
        <v>81.25</v>
      </c>
      <c r="I21" s="1">
        <v>55.29</v>
      </c>
      <c r="J21" s="7"/>
    </row>
    <row r="22" spans="1:10" x14ac:dyDescent="0.25">
      <c r="A22" s="4" t="s">
        <v>11</v>
      </c>
      <c r="B22" s="3" t="s">
        <v>17</v>
      </c>
      <c r="C22" s="3">
        <v>95.16</v>
      </c>
      <c r="D22" s="3">
        <v>96.84</v>
      </c>
      <c r="E22" s="3">
        <v>100</v>
      </c>
      <c r="F22" s="3">
        <v>18.75</v>
      </c>
      <c r="G22" s="3">
        <v>0</v>
      </c>
      <c r="H22" s="3">
        <v>0</v>
      </c>
      <c r="I22" s="3">
        <v>0</v>
      </c>
      <c r="J22" s="3"/>
    </row>
    <row r="23" spans="1:10" x14ac:dyDescent="0.25">
      <c r="A23" s="4" t="s">
        <v>11</v>
      </c>
      <c r="B23" s="3" t="s">
        <v>18</v>
      </c>
      <c r="C23" s="3">
        <v>96.77</v>
      </c>
      <c r="D23" s="3">
        <v>97.87</v>
      </c>
      <c r="E23" s="3">
        <v>100</v>
      </c>
      <c r="F23" s="3">
        <v>12.5</v>
      </c>
      <c r="G23" s="3">
        <v>0</v>
      </c>
      <c r="H23" s="3">
        <v>0</v>
      </c>
      <c r="I23" s="3">
        <v>0</v>
      </c>
      <c r="J23" s="3"/>
    </row>
    <row r="24" spans="1:10" x14ac:dyDescent="0.25">
      <c r="A24" s="4" t="s">
        <v>11</v>
      </c>
      <c r="B24" s="3" t="s">
        <v>19</v>
      </c>
      <c r="C24" s="3">
        <v>93.55</v>
      </c>
      <c r="D24" s="3">
        <v>95.65</v>
      </c>
      <c r="E24" s="3">
        <v>95.65</v>
      </c>
      <c r="F24" s="3">
        <v>12.5</v>
      </c>
      <c r="G24" s="3">
        <v>0</v>
      </c>
      <c r="H24" s="3">
        <v>0</v>
      </c>
      <c r="I24" s="3">
        <v>0</v>
      </c>
      <c r="J24" s="3"/>
    </row>
    <row r="25" spans="1:10" x14ac:dyDescent="0.25">
      <c r="A25" s="4" t="s">
        <v>11</v>
      </c>
      <c r="B25" s="3" t="s">
        <v>20</v>
      </c>
      <c r="C25" s="3">
        <v>90.32</v>
      </c>
      <c r="D25" s="3">
        <v>93.18</v>
      </c>
      <c r="E25" s="3">
        <v>89.13</v>
      </c>
      <c r="F25" s="3">
        <v>6.25</v>
      </c>
      <c r="G25" s="3">
        <v>0</v>
      </c>
      <c r="H25" s="3">
        <v>0</v>
      </c>
      <c r="I25" s="3">
        <v>0</v>
      </c>
      <c r="J2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tb_video_results</vt:lpstr>
      <vt:lpstr>tb_video_results_raw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Hoàng Văn Hà</cp:lastModifiedBy>
  <dcterms:created xsi:type="dcterms:W3CDTF">2024-10-25T08:58:17Z</dcterms:created>
  <dcterms:modified xsi:type="dcterms:W3CDTF">2024-12-11T18:48:08Z</dcterms:modified>
</cp:coreProperties>
</file>